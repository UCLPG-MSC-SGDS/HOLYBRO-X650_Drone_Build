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warmusah/Documents/Websites/HOLYBRO-X650_Drone_Build/documentation/"/>
    </mc:Choice>
  </mc:AlternateContent>
  <xr:revisionPtr revIDLastSave="0" documentId="13_ncr:1_{6B7373A9-0206-934E-9262-B3F53EAAEA0F}" xr6:coauthVersionLast="47" xr6:coauthVersionMax="47" xr10:uidLastSave="{00000000-0000-0000-0000-000000000000}"/>
  <bookViews>
    <workbookView xWindow="0" yWindow="500" windowWidth="37820" windowHeight="20140" xr2:uid="{AD929F01-B901-9847-9696-379D432B2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J37" i="1"/>
  <c r="I28" i="1"/>
  <c r="I27" i="1"/>
  <c r="I26" i="1"/>
  <c r="I25" i="1"/>
  <c r="I24" i="1"/>
  <c r="I23" i="1"/>
  <c r="I21" i="1"/>
  <c r="I16" i="1"/>
  <c r="I14" i="1"/>
  <c r="I13" i="1"/>
  <c r="I10" i="1"/>
  <c r="I11" i="1"/>
  <c r="I12" i="1"/>
  <c r="I19" i="1"/>
  <c r="I15" i="1"/>
  <c r="I9" i="1"/>
  <c r="I8" i="1"/>
  <c r="I7" i="1"/>
  <c r="I17" i="1"/>
  <c r="I18" i="1"/>
  <c r="J39" i="1" s="1"/>
  <c r="I6" i="1"/>
  <c r="I4" i="1"/>
  <c r="I2" i="1"/>
  <c r="I3" i="1"/>
  <c r="I5" i="1"/>
  <c r="J38" i="1" l="1"/>
</calcChain>
</file>

<file path=xl/sharedStrings.xml><?xml version="1.0" encoding="utf-8"?>
<sst xmlns="http://schemas.openxmlformats.org/spreadsheetml/2006/main" count="194" uniqueCount="121">
  <si>
    <t>Name</t>
  </si>
  <si>
    <t>Description</t>
  </si>
  <si>
    <t>Quantity</t>
  </si>
  <si>
    <t>Cost per unit</t>
  </si>
  <si>
    <t>Price</t>
  </si>
  <si>
    <t>HOLYBRO M10 GPS Standard</t>
  </si>
  <si>
    <t>Type</t>
  </si>
  <si>
    <t>M10 GPS device is a GPS module which comes with an integrated compass, LED, Buzzer, and safety switch (GPS1 or GPS2).</t>
  </si>
  <si>
    <t>HOLYBRO PM02 Power Module</t>
  </si>
  <si>
    <t>Power step-down module to distribute power safely to the flight controller and electronic speed controller</t>
  </si>
  <si>
    <t>Electronics</t>
  </si>
  <si>
    <t>This is a powered CAN port expansion module developed for various flight controllers and their supporting peripherals. This CAN Hub is integrated with a step-down power supply. It supports 2-12S power input and 5V CAN power output and can expand one CAN port into up to four ports while providing stable 5V/1A power for each port with its dedicated power input.</t>
  </si>
  <si>
    <t>HOLYBRO CAN Hub (4 ports)</t>
  </si>
  <si>
    <t>Website</t>
  </si>
  <si>
    <t>3dxr.co.uk</t>
  </si>
  <si>
    <t>Microcontroller for Drone</t>
  </si>
  <si>
    <t>Code (if applicable)</t>
  </si>
  <si>
    <t>HB-02-04-PM02-V3-15010</t>
  </si>
  <si>
    <t xml:space="preserve">HOLYBRO Power Distribution Board for X500 with XT30 &amp; 60 </t>
  </si>
  <si>
    <t>This PDB can be used with other drones, it simply splits the XT60 in to 6x XT30.</t>
  </si>
  <si>
    <t>HB-04-03-PDB-Board-X500-18069A</t>
  </si>
  <si>
    <t>HB-CAN-Hub</t>
  </si>
  <si>
    <t>HB-05-10-M10-GPS-Std-12040</t>
  </si>
  <si>
    <t>Frame</t>
  </si>
  <si>
    <t>HOLYBRO Telemetry Radio Set V3 -100mw 433MHz</t>
  </si>
  <si>
    <t>This is basically a wireless data link for your drone. It lets your drone and your laptop/ground station talk to each other in real time. Note - it does not function as  a remote control, like the transmitte, but for data about the drone well being (telemetry).</t>
  </si>
  <si>
    <t>HB-01-13-433-100mw-V3-17012</t>
  </si>
  <si>
    <t>Postage</t>
  </si>
  <si>
    <t>This is the Holybro X650 V2 carbon fiber quadcopter frame with foldable arms</t>
  </si>
  <si>
    <t>Component-GPS</t>
  </si>
  <si>
    <t>Component-Telemetry</t>
  </si>
  <si>
    <t>T-Motor MN4014 KV330 Motor</t>
  </si>
  <si>
    <t>TM-MN-4014-330KV</t>
  </si>
  <si>
    <t>Component-Motor</t>
  </si>
  <si>
    <t>SIYI Technology</t>
  </si>
  <si>
    <t>Remote Controller w/air unit and FPV camera</t>
  </si>
  <si>
    <t>SIYI-MK15-Agri-FPV-Combo(*UN3481*)</t>
  </si>
  <si>
    <t>Component-RC</t>
  </si>
  <si>
    <t>Electronic Speed Controllers (ESC)</t>
  </si>
  <si>
    <t>HOLYBRO Tekko32 F4 45A ESC</t>
  </si>
  <si>
    <t>HB-02-10-Tekko32-F4-45A-ESC-31104</t>
  </si>
  <si>
    <t>Component-ESC</t>
  </si>
  <si>
    <t>Mechanical fastners</t>
  </si>
  <si>
    <t>amazon.co.uk</t>
  </si>
  <si>
    <t>N/A</t>
  </si>
  <si>
    <t>MR30 Connectors between the motor and ESC (10 x male and 10 x female)</t>
  </si>
  <si>
    <t>Raspberry Pi 5</t>
  </si>
  <si>
    <t>Link</t>
  </si>
  <si>
    <t>https://www.3dxr.co.uk/multirotor-c3/multirotor-motors-c35/t-motor-mn4014-p3510</t>
  </si>
  <si>
    <t>HOLYBRO Pixhawk 6C Flight Controller (Aluminium Case)</t>
  </si>
  <si>
    <t>HB-04-08-Pixhawk-6C-Aluminium-Case-11055</t>
  </si>
  <si>
    <t>https://www.3dxr.co.uk/autopilots-c2/flight-controllers-c453/holybro-pixhawk-6c-aluminium-case-11055-p6613</t>
  </si>
  <si>
    <t>https://www.3dxr.co.uk/autopilots-c2/holybro-pm02-power-module-support-to-12s-v3-p3411</t>
  </si>
  <si>
    <t>https://www.3dxr.co.uk/electronics-c78/power-management-c91/power-distribution-boards-pdbs-c191/holybro-pdb-board-for-x500-v2-kit-with-xt30-p4983</t>
  </si>
  <si>
    <t>https://www.3dxr.co.uk/autopilots-c2/fc-gps-rtk-c456/holybro-m10-gps-standard-p5696</t>
  </si>
  <si>
    <t>https://www.3dxr.co.uk/radio-gear-c33/telemetry-c31/433-mhz-telemetry-c32/holybro-sik-telemetry-radio-set-v3-100mw-433mhz-p3021</t>
  </si>
  <si>
    <t>https://www.3dxr.co.uk/multirotor-c3/multirotor-escs-c48/holybro-tekko32-f4-45a-esc-p4993</t>
  </si>
  <si>
    <t>Motors</t>
  </si>
  <si>
    <t>10 Pairs Amass MR30 Male Female Connector Plugs</t>
  </si>
  <si>
    <t>12 Pairs XT30 Male Female Connectors Plugs</t>
  </si>
  <si>
    <t>XT30 Connectors between the ESC and PDB</t>
  </si>
  <si>
    <t>https://www.flyingtech.co.uk/product/holybro-x650-spare-part-propeller-1555-1pair/</t>
  </si>
  <si>
    <t>flytech.co.uk</t>
  </si>
  <si>
    <t>Component-Propellers</t>
  </si>
  <si>
    <t>Propellers (4 x CW and 4 x CCW)</t>
  </si>
  <si>
    <t>1 Pair (CW, CCW) Holybro X650 Spare Part Propeller 1555</t>
  </si>
  <si>
    <t>24 AWG Silicone Wire</t>
  </si>
  <si>
    <t>1 Roll (Black, White and Blue)</t>
  </si>
  <si>
    <t>16 AWG Silicone Wire</t>
  </si>
  <si>
    <t>1 Roll (Red and Black) - 2.5 metres</t>
  </si>
  <si>
    <t xml:space="preserve">1 Roll (Black and Red) - 2.5 metres </t>
  </si>
  <si>
    <t>Handheld Label Printer</t>
  </si>
  <si>
    <t>Mini Handheld Sticker Maker for wires</t>
  </si>
  <si>
    <t>Component-Computer</t>
  </si>
  <si>
    <t>Companion computer 8GB RAM and 128 GB storage capacity</t>
  </si>
  <si>
    <t>Component-Battery</t>
  </si>
  <si>
    <t>Battery for experimentation</t>
  </si>
  <si>
    <t>Total Price:</t>
  </si>
  <si>
    <t>https://www.3dxr.co.uk/radio-gear-c33/transmitters-c58/siyi-technology-siyi-mk15-agriculture-p5612</t>
  </si>
  <si>
    <t>https://www.3dxr.co.uk/autopilots-c2/fc-sensors-c469/holybro-can-hub-p5541</t>
  </si>
  <si>
    <t xml:space="preserve">18 AWG Three-Phase Wires Extension Leads </t>
  </si>
  <si>
    <t>Status</t>
  </si>
  <si>
    <t>Purchased</t>
  </si>
  <si>
    <t>2 x 6S 4200mAh 22.2V 100C Lipo Battery XT60</t>
  </si>
  <si>
    <t>XT60 splitter cable for parallel battery connection</t>
  </si>
  <si>
    <t>1 Pair Short (10cm) XT60 Parallel Battery Connector Cable 14AWG</t>
  </si>
  <si>
    <t>Pending</t>
  </si>
  <si>
    <t>X260 Laptop Battery for Lenovo X260 model</t>
  </si>
  <si>
    <t>Rechargable battery replace for laptop. This is one old windows laptop which is going to be a Ground Control Station.</t>
  </si>
  <si>
    <t>Spent so far:</t>
  </si>
  <si>
    <t>Remaining:</t>
  </si>
  <si>
    <t>GCS-Battery</t>
  </si>
  <si>
    <t>Amazon Basics 50-inch Lightweight Camera Mount Tripod Stand With Bag, Black/Brown</t>
  </si>
  <si>
    <t>Tripod stand</t>
  </si>
  <si>
    <t>GCS-Stand</t>
  </si>
  <si>
    <t>Owned</t>
  </si>
  <si>
    <t>Very old laptop (Windows OS) - Mission Planner will be installed to configure drone and be used as the Ground Control Station hardware.</t>
  </si>
  <si>
    <t>GCS-Computer</t>
  </si>
  <si>
    <t>Lenovo X260 ThinkPad (12 inch) Intel Core i7 Inside Laptop</t>
  </si>
  <si>
    <t>HOLYBRO H-RTK F9P Base (Full package)</t>
  </si>
  <si>
    <t>HB-07-10-H-RTK-F9P-Base-12022+HANT-X627A</t>
  </si>
  <si>
    <t>GCS-GNSS</t>
  </si>
  <si>
    <t>https://www.3dxr.co.uk/autopilots-c2/fc-gps-rtk-c456/holybro-h-rtk-f9p-base-p3869</t>
  </si>
  <si>
    <t>H-RTK F9P is the latest differential high-precision GNSS positioning system series from Holybro. This system provides multi-band RTK with fast convergence times and reliable performance, concurrent reception of GPS, GLONASS, Galileo and BeiDou, and fast update rate for highly dynamic and high volume applications with centimeter-accuracy. It uses a UBLOX ZED-F9P module, a IST8310 compass, and a tri-colored LED indicator. It also has a integrated safety switch for a simple and convenient operation.</t>
  </si>
  <si>
    <t>HOLYBRO DroneCAN H-RTK F9P Rover</t>
  </si>
  <si>
    <t>HOLYBRO DroneCAN H-RTK F9P Helical</t>
  </si>
  <si>
    <t>HB-DroneCAN-F9P-Rover</t>
  </si>
  <si>
    <t>HB-05-01-DroneCAN-H-RTK-F9P-Helical-12037</t>
  </si>
  <si>
    <t>https://www.3dxr.co.uk/autopilots-c2/fc-gps-rtk-c456/holybro-dronecan-h-rtk-f9p-helical-p5539</t>
  </si>
  <si>
    <t>https://www.3dxr.co.uk/sensors-c5/gps-gnss-c89/holybro-dronecan-h-rtk-f9p-rover-p5545</t>
  </si>
  <si>
    <t>GCS-Component</t>
  </si>
  <si>
    <t>NVIDIA Jetson Orin Nano</t>
  </si>
  <si>
    <t>Companion computer 8GB RAM and 8 GB memory for AI models</t>
  </si>
  <si>
    <t>Gens Ace- Tattu 30C- 10000mAh 6S1P 22.2V Lipo with XT90-S</t>
  </si>
  <si>
    <t>Battery for UAV</t>
  </si>
  <si>
    <t>TA-30C-10000-6S1P-XT90-S</t>
  </si>
  <si>
    <t>https://www.3dxr.co.uk/electronics-c78/batteries-c144/gensace-gens-ace-tattu-30c-10000mah-6s1p-22-2v-lipo-with-xt90-s-p3790</t>
  </si>
  <si>
    <t>HOLYBRO X650 V2 Quadcopter Frame Kit</t>
  </si>
  <si>
    <t>H30178</t>
  </si>
  <si>
    <t>unmannedtechshop.co.uk</t>
  </si>
  <si>
    <t>https://www.unmannedtechshop.co.uk/products/holybro-x650-v2-quadcopter-frame-kit?_pos=1&amp;_psq=HOLYBRO+X650&amp;_ss=e&amp;_v=1.0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</si>
</sst>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/>
    </xf>
    <xf numFmtId="0" fontId="2" fillId="0" borderId="0" xfId="1"/>
    <xf numFmtId="0" fontId="1" fillId="0" borderId="0" xfId="0" applyFont="1"/>
    <xf numFmtId="0" fontId="1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yingtech.co.uk/product/holybro-x650-spare-part-propeller-1555-1pair/" TargetMode="External"/><Relationship Id="rId13" Type="http://schemas.openxmlformats.org/officeDocument/2006/relationships/hyperlink" Target="https://www.3dxr.co.uk/sensors-c5/gps-gnss-c89/holybro-dronecan-h-rtk-f9p-rover-p5545" TargetMode="External"/><Relationship Id="rId3" Type="http://schemas.openxmlformats.org/officeDocument/2006/relationships/hyperlink" Target="https://www.3dxr.co.uk/autopilots-c2/holybro-pm02-power-module-support-to-12s-v3-p3411" TargetMode="External"/><Relationship Id="rId7" Type="http://schemas.openxmlformats.org/officeDocument/2006/relationships/hyperlink" Target="https://www.3dxr.co.uk/multirotor-c3/multirotor-escs-c48/holybro-tekko32-f4-45a-esc-p4993" TargetMode="External"/><Relationship Id="rId12" Type="http://schemas.openxmlformats.org/officeDocument/2006/relationships/hyperlink" Target="https://www.3dxr.co.uk/autopilots-c2/fc-gps-rtk-c456/holybro-dronecan-h-rtk-f9p-helical-p5539" TargetMode="External"/><Relationship Id="rId2" Type="http://schemas.openxmlformats.org/officeDocument/2006/relationships/hyperlink" Target="https://www.3dxr.co.uk/autopilots-c2/flight-controllers-c453/holybro-pixhawk-6c-aluminium-case-11055-p6613" TargetMode="External"/><Relationship Id="rId1" Type="http://schemas.openxmlformats.org/officeDocument/2006/relationships/hyperlink" Target="https://www.3dxr.co.uk/multirotor-c3/multirotor-motors-c35/t-motor-mn4014-p3510" TargetMode="External"/><Relationship Id="rId6" Type="http://schemas.openxmlformats.org/officeDocument/2006/relationships/hyperlink" Target="https://www.3dxr.co.uk/radio-gear-c33/telemetry-c31/433-mhz-telemetry-c32/holybro-sik-telemetry-radio-set-v3-100mw-433mhz-p3021" TargetMode="External"/><Relationship Id="rId11" Type="http://schemas.openxmlformats.org/officeDocument/2006/relationships/hyperlink" Target="https://www.3dxr.co.uk/autopilots-c2/fc-gps-rtk-c456/holybro-h-rtk-f9p-base-p3869" TargetMode="External"/><Relationship Id="rId5" Type="http://schemas.openxmlformats.org/officeDocument/2006/relationships/hyperlink" Target="https://www.3dxr.co.uk/autopilots-c2/fc-gps-rtk-c456/holybro-m10-gps-standard-p5696" TargetMode="External"/><Relationship Id="rId15" Type="http://schemas.openxmlformats.org/officeDocument/2006/relationships/hyperlink" Target="https://www.unmannedtechshop.co.uk/products/holybro-x650-v2-quadcopter-frame-kit?_pos=1&amp;_psq=HOLYBRO+X650&amp;_ss=e&amp;_v=1.0" TargetMode="External"/><Relationship Id="rId10" Type="http://schemas.openxmlformats.org/officeDocument/2006/relationships/hyperlink" Target="https://www.3dxr.co.uk/autopilots-c2/fc-sensors-c469/holybro-can-hub-p5541" TargetMode="External"/><Relationship Id="rId4" Type="http://schemas.openxmlformats.org/officeDocument/2006/relationships/hyperlink" Target="https://www.3dxr.co.uk/electronics-c78/power-management-c91/power-distribution-boards-pdbs-c191/holybro-pdb-board-for-x500-v2-kit-with-xt30-p4983" TargetMode="External"/><Relationship Id="rId9" Type="http://schemas.openxmlformats.org/officeDocument/2006/relationships/hyperlink" Target="https://www.3dxr.co.uk/radio-gear-c33/transmitters-c58/siyi-technology-siyi-mk15-agriculture-p5612" TargetMode="External"/><Relationship Id="rId14" Type="http://schemas.openxmlformats.org/officeDocument/2006/relationships/hyperlink" Target="https://www.3dxr.co.uk/electronics-c78/batteries-c144/gensace-gens-ace-tattu-30c-10000mah-6s1p-22-2v-lipo-with-xt90-s-p37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FAF7-CC0B-2A43-AD83-8E11014678AE}">
  <dimension ref="A1:K48"/>
  <sheetViews>
    <sheetView tabSelected="1" zoomScale="90" zoomScaleNormal="90" workbookViewId="0">
      <selection activeCell="B16" sqref="B16"/>
    </sheetView>
  </sheetViews>
  <sheetFormatPr baseColWidth="10" defaultRowHeight="16" x14ac:dyDescent="0.2"/>
  <cols>
    <col min="1" max="1" width="10.83203125" style="3"/>
    <col min="2" max="2" width="72.33203125" bestFit="1" customWidth="1"/>
    <col min="3" max="3" width="65.33203125" customWidth="1"/>
    <col min="4" max="4" width="40.6640625" bestFit="1" customWidth="1"/>
    <col min="5" max="5" width="24" bestFit="1" customWidth="1"/>
    <col min="7" max="7" width="21.5" customWidth="1"/>
    <col min="9" max="9" width="21.83203125" customWidth="1"/>
    <col min="10" max="10" width="22.33203125" bestFit="1" customWidth="1"/>
    <col min="11" max="11" width="131" bestFit="1" customWidth="1"/>
  </cols>
  <sheetData>
    <row r="1" spans="1:11" s="7" customFormat="1" x14ac:dyDescent="0.2">
      <c r="A1" s="8" t="s">
        <v>81</v>
      </c>
      <c r="B1" s="7" t="s">
        <v>0</v>
      </c>
      <c r="C1" s="7" t="s">
        <v>1</v>
      </c>
      <c r="D1" s="7" t="s">
        <v>16</v>
      </c>
      <c r="E1" s="7" t="s">
        <v>6</v>
      </c>
      <c r="F1" s="7" t="s">
        <v>2</v>
      </c>
      <c r="G1" s="7" t="s">
        <v>3</v>
      </c>
      <c r="H1" s="7" t="s">
        <v>27</v>
      </c>
      <c r="I1" s="7" t="s">
        <v>4</v>
      </c>
      <c r="J1" s="7" t="s">
        <v>13</v>
      </c>
      <c r="K1" s="7" t="s">
        <v>47</v>
      </c>
    </row>
    <row r="2" spans="1:11" x14ac:dyDescent="0.2">
      <c r="A2" s="3" t="s">
        <v>82</v>
      </c>
      <c r="B2" s="3" t="s">
        <v>49</v>
      </c>
      <c r="C2" s="3" t="s">
        <v>15</v>
      </c>
      <c r="D2" s="3" t="s">
        <v>50</v>
      </c>
      <c r="E2" s="3" t="s">
        <v>10</v>
      </c>
      <c r="F2" s="3">
        <v>1</v>
      </c>
      <c r="G2" s="3">
        <v>150.99</v>
      </c>
      <c r="H2" s="3">
        <v>0</v>
      </c>
      <c r="I2" s="3">
        <f>F2*G2</f>
        <v>150.99</v>
      </c>
      <c r="J2" s="3" t="s">
        <v>14</v>
      </c>
      <c r="K2" s="5" t="s">
        <v>51</v>
      </c>
    </row>
    <row r="3" spans="1:11" ht="34" x14ac:dyDescent="0.2">
      <c r="A3" s="3" t="s">
        <v>82</v>
      </c>
      <c r="B3" s="3" t="s">
        <v>8</v>
      </c>
      <c r="C3" s="4" t="s">
        <v>9</v>
      </c>
      <c r="D3" s="3" t="s">
        <v>17</v>
      </c>
      <c r="E3" s="3" t="s">
        <v>10</v>
      </c>
      <c r="F3" s="3">
        <v>1</v>
      </c>
      <c r="G3" s="3">
        <v>18.989999999999998</v>
      </c>
      <c r="H3" s="3">
        <v>0</v>
      </c>
      <c r="I3" s="3">
        <f>F3*G3</f>
        <v>18.989999999999998</v>
      </c>
      <c r="J3" s="3" t="s">
        <v>14</v>
      </c>
      <c r="K3" s="5" t="s">
        <v>52</v>
      </c>
    </row>
    <row r="4" spans="1:11" ht="17" x14ac:dyDescent="0.2">
      <c r="A4" s="3" t="s">
        <v>82</v>
      </c>
      <c r="B4" s="3" t="s">
        <v>18</v>
      </c>
      <c r="C4" s="4" t="s">
        <v>19</v>
      </c>
      <c r="D4" s="4" t="s">
        <v>20</v>
      </c>
      <c r="E4" s="3" t="s">
        <v>10</v>
      </c>
      <c r="F4" s="3">
        <v>1</v>
      </c>
      <c r="G4" s="3">
        <v>9.7899999999999991</v>
      </c>
      <c r="H4" s="3">
        <v>0</v>
      </c>
      <c r="I4" s="3">
        <f>F4*G4</f>
        <v>9.7899999999999991</v>
      </c>
      <c r="J4" s="3" t="s">
        <v>14</v>
      </c>
      <c r="K4" s="5" t="s">
        <v>53</v>
      </c>
    </row>
    <row r="5" spans="1:11" ht="34" x14ac:dyDescent="0.2">
      <c r="A5" s="3" t="s">
        <v>82</v>
      </c>
      <c r="B5" s="3" t="s">
        <v>5</v>
      </c>
      <c r="C5" s="4" t="s">
        <v>7</v>
      </c>
      <c r="D5" s="4" t="s">
        <v>22</v>
      </c>
      <c r="E5" s="3" t="s">
        <v>29</v>
      </c>
      <c r="F5" s="3">
        <v>1</v>
      </c>
      <c r="G5" s="3">
        <v>48.39</v>
      </c>
      <c r="H5" s="3">
        <v>0</v>
      </c>
      <c r="I5" s="3">
        <f t="shared" ref="I5:I17" si="0">F5*G5</f>
        <v>48.39</v>
      </c>
      <c r="J5" s="3" t="s">
        <v>14</v>
      </c>
      <c r="K5" s="5" t="s">
        <v>54</v>
      </c>
    </row>
    <row r="6" spans="1:11" ht="68" x14ac:dyDescent="0.2">
      <c r="A6" s="3" t="s">
        <v>82</v>
      </c>
      <c r="B6" s="3" t="s">
        <v>24</v>
      </c>
      <c r="C6" s="4" t="s">
        <v>25</v>
      </c>
      <c r="D6" s="4" t="s">
        <v>26</v>
      </c>
      <c r="E6" s="3" t="s">
        <v>30</v>
      </c>
      <c r="F6" s="3">
        <v>1</v>
      </c>
      <c r="G6" s="3">
        <v>71.39</v>
      </c>
      <c r="H6" s="3">
        <v>0</v>
      </c>
      <c r="I6" s="3">
        <f t="shared" si="0"/>
        <v>71.39</v>
      </c>
      <c r="J6" s="3" t="s">
        <v>14</v>
      </c>
      <c r="K6" s="5" t="s">
        <v>55</v>
      </c>
    </row>
    <row r="7" spans="1:11" x14ac:dyDescent="0.2">
      <c r="A7" s="3" t="s">
        <v>82</v>
      </c>
      <c r="B7" s="3" t="s">
        <v>39</v>
      </c>
      <c r="C7" s="3" t="s">
        <v>38</v>
      </c>
      <c r="D7" s="3" t="s">
        <v>40</v>
      </c>
      <c r="E7" s="3" t="s">
        <v>41</v>
      </c>
      <c r="F7" s="3">
        <v>4</v>
      </c>
      <c r="G7" s="3">
        <v>17.989999999999998</v>
      </c>
      <c r="H7" s="3">
        <v>0</v>
      </c>
      <c r="I7" s="3">
        <f t="shared" si="0"/>
        <v>71.959999999999994</v>
      </c>
      <c r="J7" s="3" t="s">
        <v>14</v>
      </c>
      <c r="K7" s="5" t="s">
        <v>56</v>
      </c>
    </row>
    <row r="8" spans="1:11" ht="17" x14ac:dyDescent="0.2">
      <c r="A8" s="3" t="s">
        <v>82</v>
      </c>
      <c r="B8" s="3" t="s">
        <v>58</v>
      </c>
      <c r="C8" s="4" t="s">
        <v>45</v>
      </c>
      <c r="D8" s="4" t="s">
        <v>44</v>
      </c>
      <c r="E8" s="3" t="s">
        <v>42</v>
      </c>
      <c r="F8" s="3">
        <v>1</v>
      </c>
      <c r="G8" s="3">
        <v>12.99</v>
      </c>
      <c r="H8" s="3">
        <v>0</v>
      </c>
      <c r="I8" s="3">
        <f t="shared" si="0"/>
        <v>12.99</v>
      </c>
      <c r="J8" s="3" t="s">
        <v>43</v>
      </c>
    </row>
    <row r="9" spans="1:11" ht="17" x14ac:dyDescent="0.2">
      <c r="A9" s="3" t="s">
        <v>82</v>
      </c>
      <c r="B9" s="3" t="s">
        <v>59</v>
      </c>
      <c r="C9" s="4" t="s">
        <v>60</v>
      </c>
      <c r="D9" s="4" t="s">
        <v>44</v>
      </c>
      <c r="E9" s="3" t="s">
        <v>42</v>
      </c>
      <c r="F9" s="3">
        <v>1</v>
      </c>
      <c r="G9" s="3">
        <v>6.99</v>
      </c>
      <c r="H9" s="3">
        <v>0</v>
      </c>
      <c r="I9" s="3">
        <f t="shared" si="0"/>
        <v>6.99</v>
      </c>
      <c r="J9" s="3" t="s">
        <v>43</v>
      </c>
    </row>
    <row r="10" spans="1:11" ht="17" x14ac:dyDescent="0.2">
      <c r="A10" s="3" t="s">
        <v>82</v>
      </c>
      <c r="B10" s="3" t="s">
        <v>80</v>
      </c>
      <c r="C10" s="4" t="s">
        <v>70</v>
      </c>
      <c r="D10" s="4" t="s">
        <v>44</v>
      </c>
      <c r="E10" s="3" t="s">
        <v>42</v>
      </c>
      <c r="F10" s="3">
        <v>1</v>
      </c>
      <c r="G10" s="3">
        <v>6.79</v>
      </c>
      <c r="H10" s="3">
        <v>0</v>
      </c>
      <c r="I10" s="3">
        <f t="shared" si="0"/>
        <v>6.79</v>
      </c>
      <c r="J10" s="3" t="s">
        <v>43</v>
      </c>
    </row>
    <row r="11" spans="1:11" ht="17" x14ac:dyDescent="0.2">
      <c r="A11" s="3" t="s">
        <v>82</v>
      </c>
      <c r="B11" s="3" t="s">
        <v>68</v>
      </c>
      <c r="C11" s="4" t="s">
        <v>69</v>
      </c>
      <c r="D11" s="4" t="s">
        <v>44</v>
      </c>
      <c r="E11" s="3" t="s">
        <v>42</v>
      </c>
      <c r="F11" s="3">
        <v>1</v>
      </c>
      <c r="G11" s="3">
        <v>7.99</v>
      </c>
      <c r="H11" s="3">
        <v>0</v>
      </c>
      <c r="I11" s="3">
        <f t="shared" si="0"/>
        <v>7.99</v>
      </c>
      <c r="J11" s="3" t="s">
        <v>43</v>
      </c>
    </row>
    <row r="12" spans="1:11" ht="17" x14ac:dyDescent="0.2">
      <c r="A12" s="3" t="s">
        <v>82</v>
      </c>
      <c r="B12" s="3" t="s">
        <v>66</v>
      </c>
      <c r="C12" s="4" t="s">
        <v>67</v>
      </c>
      <c r="D12" s="4" t="s">
        <v>44</v>
      </c>
      <c r="E12" s="3" t="s">
        <v>42</v>
      </c>
      <c r="F12" s="3">
        <v>1</v>
      </c>
      <c r="G12" s="3">
        <v>10.69</v>
      </c>
      <c r="H12" s="3">
        <v>0</v>
      </c>
      <c r="I12" s="3">
        <f t="shared" si="0"/>
        <v>10.69</v>
      </c>
      <c r="J12" s="3" t="s">
        <v>43</v>
      </c>
    </row>
    <row r="13" spans="1:11" ht="17" x14ac:dyDescent="0.2">
      <c r="A13" s="3" t="s">
        <v>82</v>
      </c>
      <c r="B13" s="3" t="s">
        <v>71</v>
      </c>
      <c r="C13" s="4" t="s">
        <v>72</v>
      </c>
      <c r="D13" s="4" t="s">
        <v>44</v>
      </c>
      <c r="E13" s="3" t="s">
        <v>42</v>
      </c>
      <c r="F13" s="3">
        <v>1</v>
      </c>
      <c r="G13" s="3">
        <v>14.99</v>
      </c>
      <c r="H13" s="3">
        <v>0</v>
      </c>
      <c r="I13" s="3">
        <f t="shared" si="0"/>
        <v>14.99</v>
      </c>
      <c r="J13" s="3" t="s">
        <v>43</v>
      </c>
    </row>
    <row r="14" spans="1:11" ht="17" x14ac:dyDescent="0.2">
      <c r="A14" s="3" t="s">
        <v>82</v>
      </c>
      <c r="B14" s="3" t="s">
        <v>83</v>
      </c>
      <c r="C14" s="4" t="s">
        <v>76</v>
      </c>
      <c r="D14" s="4" t="s">
        <v>44</v>
      </c>
      <c r="E14" s="3" t="s">
        <v>75</v>
      </c>
      <c r="F14" s="3">
        <v>1</v>
      </c>
      <c r="G14" s="3">
        <v>99.99</v>
      </c>
      <c r="H14" s="3">
        <v>0</v>
      </c>
      <c r="I14" s="3">
        <f t="shared" si="0"/>
        <v>99.99</v>
      </c>
      <c r="J14" s="3" t="s">
        <v>43</v>
      </c>
    </row>
    <row r="15" spans="1:11" ht="17" x14ac:dyDescent="0.2">
      <c r="A15" s="3" t="s">
        <v>82</v>
      </c>
      <c r="B15" s="1" t="s">
        <v>34</v>
      </c>
      <c r="C15" s="2" t="s">
        <v>35</v>
      </c>
      <c r="D15" s="2" t="s">
        <v>36</v>
      </c>
      <c r="E15" s="1" t="s">
        <v>37</v>
      </c>
      <c r="F15" s="3">
        <v>1</v>
      </c>
      <c r="G15" s="3">
        <v>470</v>
      </c>
      <c r="H15" s="3">
        <v>0</v>
      </c>
      <c r="I15" s="3">
        <f t="shared" si="0"/>
        <v>470</v>
      </c>
      <c r="J15" s="3" t="s">
        <v>14</v>
      </c>
      <c r="K15" s="6" t="s">
        <v>78</v>
      </c>
    </row>
    <row r="16" spans="1:11" ht="17" x14ac:dyDescent="0.2">
      <c r="A16" s="3" t="s">
        <v>82</v>
      </c>
      <c r="B16" s="1" t="s">
        <v>85</v>
      </c>
      <c r="C16" s="2" t="s">
        <v>84</v>
      </c>
      <c r="D16" s="2" t="s">
        <v>44</v>
      </c>
      <c r="E16" s="1" t="s">
        <v>42</v>
      </c>
      <c r="F16" s="3">
        <v>1</v>
      </c>
      <c r="G16" s="3">
        <v>8.09</v>
      </c>
      <c r="H16" s="3">
        <v>0</v>
      </c>
      <c r="I16" s="3">
        <f t="shared" si="0"/>
        <v>8.09</v>
      </c>
      <c r="J16" s="3" t="s">
        <v>43</v>
      </c>
      <c r="K16" s="6"/>
    </row>
    <row r="17" spans="1:11" ht="17" x14ac:dyDescent="0.2">
      <c r="A17" s="3" t="s">
        <v>86</v>
      </c>
      <c r="B17" s="3" t="s">
        <v>31</v>
      </c>
      <c r="C17" s="4" t="s">
        <v>57</v>
      </c>
      <c r="D17" s="4" t="s">
        <v>32</v>
      </c>
      <c r="E17" s="3" t="s">
        <v>33</v>
      </c>
      <c r="F17" s="3">
        <v>4</v>
      </c>
      <c r="G17" s="3">
        <v>96.9</v>
      </c>
      <c r="H17" s="3">
        <v>0</v>
      </c>
      <c r="I17" s="3">
        <f t="shared" si="0"/>
        <v>387.6</v>
      </c>
      <c r="J17" s="3" t="s">
        <v>14</v>
      </c>
      <c r="K17" s="5" t="s">
        <v>48</v>
      </c>
    </row>
    <row r="18" spans="1:11" ht="17" x14ac:dyDescent="0.2">
      <c r="A18" s="3" t="s">
        <v>86</v>
      </c>
      <c r="B18" s="1" t="s">
        <v>117</v>
      </c>
      <c r="C18" s="2" t="s">
        <v>28</v>
      </c>
      <c r="D18" s="2" t="s">
        <v>118</v>
      </c>
      <c r="E18" s="1" t="s">
        <v>23</v>
      </c>
      <c r="F18" s="3">
        <v>1</v>
      </c>
      <c r="G18" s="3">
        <v>170.79</v>
      </c>
      <c r="H18" s="3">
        <v>0</v>
      </c>
      <c r="I18" s="3">
        <f>F18*G18 + H18</f>
        <v>170.79</v>
      </c>
      <c r="J18" s="3" t="s">
        <v>119</v>
      </c>
      <c r="K18" s="6" t="s">
        <v>120</v>
      </c>
    </row>
    <row r="19" spans="1:11" ht="17" x14ac:dyDescent="0.2">
      <c r="A19" s="3" t="s">
        <v>86</v>
      </c>
      <c r="B19" s="1" t="s">
        <v>65</v>
      </c>
      <c r="C19" s="2" t="s">
        <v>64</v>
      </c>
      <c r="D19" s="3" t="s">
        <v>44</v>
      </c>
      <c r="E19" s="3" t="s">
        <v>63</v>
      </c>
      <c r="F19" s="3">
        <v>4</v>
      </c>
      <c r="G19" s="3">
        <v>14.99</v>
      </c>
      <c r="H19" s="3">
        <v>0</v>
      </c>
      <c r="I19" s="3">
        <f>F19*G19</f>
        <v>59.96</v>
      </c>
      <c r="J19" s="3" t="s">
        <v>62</v>
      </c>
      <c r="K19" s="6" t="s">
        <v>61</v>
      </c>
    </row>
    <row r="20" spans="1:11" x14ac:dyDescent="0.2">
      <c r="A20" s="3" t="s">
        <v>86</v>
      </c>
      <c r="B20" s="3" t="s">
        <v>46</v>
      </c>
      <c r="C20" s="3" t="s">
        <v>74</v>
      </c>
      <c r="D20" s="3" t="s">
        <v>44</v>
      </c>
      <c r="E20" s="3" t="s">
        <v>73</v>
      </c>
      <c r="F20" s="3">
        <v>1</v>
      </c>
      <c r="G20" s="3">
        <v>219.99</v>
      </c>
      <c r="H20" s="3">
        <v>0</v>
      </c>
      <c r="I20" s="3">
        <v>219.99</v>
      </c>
      <c r="J20" s="3" t="s">
        <v>43</v>
      </c>
    </row>
    <row r="21" spans="1:11" ht="85" x14ac:dyDescent="0.2">
      <c r="A21" s="3" t="s">
        <v>86</v>
      </c>
      <c r="B21" s="3" t="s">
        <v>12</v>
      </c>
      <c r="C21" s="4" t="s">
        <v>11</v>
      </c>
      <c r="D21" s="4" t="s">
        <v>21</v>
      </c>
      <c r="E21" s="3" t="s">
        <v>10</v>
      </c>
      <c r="F21" s="3">
        <v>1</v>
      </c>
      <c r="G21" s="3">
        <v>30.79</v>
      </c>
      <c r="H21" s="3">
        <v>0</v>
      </c>
      <c r="I21" s="3">
        <f>F21*G21</f>
        <v>30.79</v>
      </c>
      <c r="J21" s="3" t="s">
        <v>14</v>
      </c>
      <c r="K21" s="5" t="s">
        <v>79</v>
      </c>
    </row>
    <row r="22" spans="1:11" ht="34" x14ac:dyDescent="0.2">
      <c r="A22" s="3" t="s">
        <v>95</v>
      </c>
      <c r="B22" s="3" t="s">
        <v>98</v>
      </c>
      <c r="C22" s="4" t="s">
        <v>96</v>
      </c>
      <c r="D22" s="4" t="s">
        <v>44</v>
      </c>
      <c r="E22" s="3" t="s">
        <v>97</v>
      </c>
      <c r="F22" s="3">
        <v>1</v>
      </c>
      <c r="G22" s="3"/>
      <c r="H22" s="3"/>
      <c r="I22" s="3"/>
      <c r="J22" s="3"/>
      <c r="K22" s="5"/>
    </row>
    <row r="23" spans="1:11" ht="34" x14ac:dyDescent="0.2">
      <c r="A23" s="3" t="s">
        <v>86</v>
      </c>
      <c r="B23" s="3" t="s">
        <v>87</v>
      </c>
      <c r="C23" s="4" t="s">
        <v>88</v>
      </c>
      <c r="D23" s="3" t="s">
        <v>44</v>
      </c>
      <c r="E23" s="3" t="s">
        <v>91</v>
      </c>
      <c r="F23" s="3">
        <v>1</v>
      </c>
      <c r="G23" s="3">
        <v>28.49</v>
      </c>
      <c r="H23" s="3">
        <v>0</v>
      </c>
      <c r="I23" s="3">
        <f t="shared" ref="I23:I29" si="1">F23*G23</f>
        <v>28.49</v>
      </c>
      <c r="J23" s="3" t="s">
        <v>43</v>
      </c>
    </row>
    <row r="24" spans="1:11" x14ac:dyDescent="0.2">
      <c r="A24" s="3" t="s">
        <v>86</v>
      </c>
      <c r="B24" s="3" t="s">
        <v>92</v>
      </c>
      <c r="C24" s="3" t="s">
        <v>93</v>
      </c>
      <c r="D24" s="3" t="s">
        <v>44</v>
      </c>
      <c r="E24" s="3" t="s">
        <v>94</v>
      </c>
      <c r="F24" s="3">
        <v>1</v>
      </c>
      <c r="G24" s="3">
        <v>12.99</v>
      </c>
      <c r="H24" s="3">
        <v>0</v>
      </c>
      <c r="I24" s="3">
        <f t="shared" si="1"/>
        <v>12.99</v>
      </c>
      <c r="J24" s="3" t="s">
        <v>43</v>
      </c>
    </row>
    <row r="25" spans="1:11" ht="119" x14ac:dyDescent="0.2">
      <c r="A25" s="3" t="s">
        <v>86</v>
      </c>
      <c r="B25" s="3" t="s">
        <v>99</v>
      </c>
      <c r="C25" s="4" t="s">
        <v>103</v>
      </c>
      <c r="D25" s="3" t="s">
        <v>100</v>
      </c>
      <c r="E25" s="3" t="s">
        <v>101</v>
      </c>
      <c r="F25" s="3">
        <v>1</v>
      </c>
      <c r="G25" s="3">
        <v>440</v>
      </c>
      <c r="H25" s="3">
        <v>0</v>
      </c>
      <c r="I25" s="3">
        <f t="shared" si="1"/>
        <v>440</v>
      </c>
      <c r="J25" s="3" t="s">
        <v>14</v>
      </c>
      <c r="K25" s="6" t="s">
        <v>102</v>
      </c>
    </row>
    <row r="26" spans="1:11" x14ac:dyDescent="0.2">
      <c r="A26" s="3" t="s">
        <v>86</v>
      </c>
      <c r="B26" s="3" t="s">
        <v>104</v>
      </c>
      <c r="C26" s="3"/>
      <c r="D26" s="3" t="s">
        <v>106</v>
      </c>
      <c r="E26" s="3" t="s">
        <v>110</v>
      </c>
      <c r="F26" s="3">
        <v>1</v>
      </c>
      <c r="G26" s="3">
        <v>299.99</v>
      </c>
      <c r="H26" s="3">
        <v>0</v>
      </c>
      <c r="I26" s="3">
        <f t="shared" si="1"/>
        <v>299.99</v>
      </c>
      <c r="J26" s="3" t="s">
        <v>14</v>
      </c>
      <c r="K26" s="6" t="s">
        <v>109</v>
      </c>
    </row>
    <row r="27" spans="1:11" x14ac:dyDescent="0.2">
      <c r="A27" s="3" t="s">
        <v>86</v>
      </c>
      <c r="B27" s="3" t="s">
        <v>105</v>
      </c>
      <c r="C27" s="3"/>
      <c r="D27" s="3" t="s">
        <v>107</v>
      </c>
      <c r="E27" s="3" t="s">
        <v>110</v>
      </c>
      <c r="F27" s="3">
        <v>1</v>
      </c>
      <c r="G27" s="3">
        <v>439.99</v>
      </c>
      <c r="H27" s="3">
        <v>0</v>
      </c>
      <c r="I27" s="3">
        <f t="shared" si="1"/>
        <v>439.99</v>
      </c>
      <c r="J27" s="3" t="s">
        <v>14</v>
      </c>
      <c r="K27" s="6" t="s">
        <v>108</v>
      </c>
    </row>
    <row r="28" spans="1:11" x14ac:dyDescent="0.2">
      <c r="A28" s="3" t="s">
        <v>86</v>
      </c>
      <c r="B28" s="3" t="s">
        <v>111</v>
      </c>
      <c r="C28" s="3" t="s">
        <v>112</v>
      </c>
      <c r="D28" s="3" t="s">
        <v>44</v>
      </c>
      <c r="E28" s="3" t="s">
        <v>73</v>
      </c>
      <c r="F28" s="3">
        <v>1</v>
      </c>
      <c r="G28" s="3">
        <v>228.95</v>
      </c>
      <c r="H28" s="3">
        <v>0</v>
      </c>
      <c r="I28" s="3">
        <f t="shared" si="1"/>
        <v>228.95</v>
      </c>
      <c r="J28" s="3" t="s">
        <v>43</v>
      </c>
    </row>
    <row r="29" spans="1:11" x14ac:dyDescent="0.2">
      <c r="A29" s="3" t="s">
        <v>86</v>
      </c>
      <c r="B29" s="3" t="s">
        <v>113</v>
      </c>
      <c r="C29" s="3" t="s">
        <v>114</v>
      </c>
      <c r="D29" s="3" t="s">
        <v>115</v>
      </c>
      <c r="E29" s="3" t="s">
        <v>75</v>
      </c>
      <c r="F29" s="3">
        <v>1</v>
      </c>
      <c r="G29" s="3">
        <v>195</v>
      </c>
      <c r="H29" s="3">
        <v>0</v>
      </c>
      <c r="I29" s="3">
        <f t="shared" si="1"/>
        <v>195</v>
      </c>
      <c r="J29" s="3" t="s">
        <v>14</v>
      </c>
      <c r="K29" s="6" t="s">
        <v>116</v>
      </c>
    </row>
    <row r="30" spans="1:11" x14ac:dyDescent="0.2">
      <c r="B30" s="3"/>
      <c r="C30" s="3"/>
      <c r="D30" s="3"/>
      <c r="E30" s="3"/>
      <c r="F30" s="3"/>
      <c r="G30" s="3"/>
      <c r="J30" s="3"/>
    </row>
    <row r="31" spans="1:11" x14ac:dyDescent="0.2">
      <c r="B31" s="3"/>
      <c r="C31" s="3"/>
      <c r="D31" s="3"/>
      <c r="E31" s="3"/>
      <c r="F31" s="3"/>
      <c r="G31" s="3"/>
      <c r="I31" s="3"/>
      <c r="J31" s="3"/>
    </row>
    <row r="32" spans="1:11" x14ac:dyDescent="0.2">
      <c r="B32" s="3"/>
      <c r="C32" s="3"/>
      <c r="D32" s="3"/>
      <c r="E32" s="3"/>
      <c r="F32" s="3"/>
      <c r="G32" s="3"/>
      <c r="I32" s="3"/>
      <c r="J32" s="3"/>
    </row>
    <row r="33" spans="2:10" x14ac:dyDescent="0.2">
      <c r="B33" s="3"/>
      <c r="C33" s="3"/>
      <c r="D33" s="3"/>
      <c r="E33" s="3"/>
      <c r="F33" s="3"/>
      <c r="G33" s="3"/>
      <c r="I33" s="3"/>
      <c r="J33" s="3"/>
    </row>
    <row r="34" spans="2:10" x14ac:dyDescent="0.2">
      <c r="B34" s="3"/>
      <c r="C34" s="3"/>
      <c r="D34" s="3"/>
      <c r="E34" s="3"/>
      <c r="F34" s="3"/>
      <c r="G34" s="3"/>
      <c r="I34" s="3"/>
      <c r="J34" s="3"/>
    </row>
    <row r="35" spans="2:10" x14ac:dyDescent="0.2">
      <c r="B35" s="3"/>
      <c r="C35" s="3"/>
      <c r="D35" s="3"/>
      <c r="E35" s="3"/>
      <c r="F35" s="3"/>
      <c r="G35" s="3"/>
      <c r="I35" s="3"/>
      <c r="J35" s="3"/>
    </row>
    <row r="36" spans="2:10" x14ac:dyDescent="0.2">
      <c r="B36" s="3"/>
      <c r="C36" s="3"/>
      <c r="D36" s="3"/>
      <c r="E36" s="3"/>
      <c r="F36" s="3"/>
      <c r="G36" s="3"/>
      <c r="I36" s="3"/>
      <c r="J36" s="3"/>
    </row>
    <row r="37" spans="2:10" x14ac:dyDescent="0.2">
      <c r="B37" s="3"/>
      <c r="C37" s="3"/>
      <c r="D37" s="3"/>
      <c r="E37" s="3"/>
      <c r="F37" s="3"/>
      <c r="G37" s="3"/>
      <c r="I37" t="s">
        <v>89</v>
      </c>
      <c r="J37" s="3">
        <f>SUM(I2:I16)</f>
        <v>1010.0300000000001</v>
      </c>
    </row>
    <row r="38" spans="2:10" x14ac:dyDescent="0.2">
      <c r="B38" s="3"/>
      <c r="C38" s="3"/>
      <c r="D38" s="3"/>
      <c r="E38" s="3"/>
      <c r="F38" s="3"/>
      <c r="G38" s="3"/>
      <c r="I38" t="s">
        <v>90</v>
      </c>
      <c r="J38" s="3">
        <f>J39-J37</f>
        <v>2514.5399999999995</v>
      </c>
    </row>
    <row r="39" spans="2:10" x14ac:dyDescent="0.2">
      <c r="B39" s="3"/>
      <c r="C39" s="3"/>
      <c r="D39" s="3"/>
      <c r="E39" s="3"/>
      <c r="F39" s="3"/>
      <c r="G39" s="3"/>
      <c r="I39" s="3" t="s">
        <v>77</v>
      </c>
      <c r="J39" s="3">
        <f>SUM(I2:I29)</f>
        <v>3524.5699999999997</v>
      </c>
    </row>
    <row r="40" spans="2:10" x14ac:dyDescent="0.2">
      <c r="B40" s="3"/>
      <c r="C40" s="3"/>
      <c r="D40" s="3"/>
      <c r="E40" s="3"/>
      <c r="F40" s="3"/>
      <c r="G40" s="3"/>
      <c r="I40" s="3"/>
    </row>
    <row r="41" spans="2:10" x14ac:dyDescent="0.2">
      <c r="B41" s="3"/>
      <c r="C41" s="3"/>
      <c r="D41" s="3"/>
      <c r="E41" s="3"/>
      <c r="F41" s="3"/>
      <c r="G41" s="3"/>
      <c r="I41" s="3"/>
    </row>
    <row r="42" spans="2:10" x14ac:dyDescent="0.2">
      <c r="B42" s="3"/>
      <c r="C42" s="3"/>
      <c r="D42" s="3"/>
      <c r="E42" s="3"/>
      <c r="F42" s="3"/>
      <c r="G42" s="3"/>
      <c r="I42" s="3"/>
    </row>
    <row r="43" spans="2:10" x14ac:dyDescent="0.2">
      <c r="B43" s="3"/>
      <c r="C43" s="3"/>
      <c r="D43" s="3"/>
      <c r="E43" s="3"/>
      <c r="F43" s="3"/>
      <c r="G43" s="3"/>
      <c r="I43" s="3"/>
    </row>
    <row r="44" spans="2:10" x14ac:dyDescent="0.2">
      <c r="B44" s="3"/>
      <c r="C44" s="3"/>
      <c r="D44" s="3"/>
      <c r="E44" s="3"/>
      <c r="F44" s="3"/>
      <c r="G44" s="3"/>
      <c r="I44" s="3"/>
    </row>
    <row r="45" spans="2:10" x14ac:dyDescent="0.2">
      <c r="B45" s="3"/>
      <c r="C45" s="3"/>
      <c r="D45" s="3"/>
      <c r="E45" s="3"/>
      <c r="F45" s="3"/>
      <c r="G45" s="3"/>
      <c r="I45" s="3"/>
    </row>
    <row r="46" spans="2:10" x14ac:dyDescent="0.2">
      <c r="B46" s="3"/>
      <c r="C46" s="3"/>
      <c r="D46" s="3"/>
      <c r="E46" s="3"/>
      <c r="F46" s="3"/>
      <c r="G46" s="3"/>
      <c r="I46" s="3"/>
    </row>
    <row r="47" spans="2:10" x14ac:dyDescent="0.2">
      <c r="B47" s="3"/>
      <c r="C47" s="3"/>
      <c r="D47" s="3"/>
      <c r="E47" s="3"/>
      <c r="F47" s="3"/>
      <c r="G47" s="3"/>
      <c r="I47" s="3"/>
    </row>
    <row r="48" spans="2:10" x14ac:dyDescent="0.2">
      <c r="B48" s="3"/>
      <c r="C48" s="3"/>
      <c r="D48" s="3"/>
      <c r="E48" s="3"/>
      <c r="F48" s="3"/>
      <c r="G48" s="3"/>
      <c r="I48" s="3"/>
    </row>
  </sheetData>
  <hyperlinks>
    <hyperlink ref="K17" r:id="rId1" xr:uid="{4467C2D8-7AA7-8F4D-B3FF-7FC4B537F94D}"/>
    <hyperlink ref="K2" r:id="rId2" xr:uid="{A7DA09AB-3D6A-174E-9017-A3BA935B944E}"/>
    <hyperlink ref="K3" r:id="rId3" xr:uid="{27EECEEA-E960-A241-AFFD-7EAB058B236E}"/>
    <hyperlink ref="K4" r:id="rId4" xr:uid="{EDDEEA88-BD41-5C4A-99E9-C1C01A8E688B}"/>
    <hyperlink ref="K5" r:id="rId5" xr:uid="{240A2134-FC8C-1B4B-AB3D-9A2C978C71D8}"/>
    <hyperlink ref="K6" r:id="rId6" xr:uid="{FF0365D2-82EE-8D4B-8B8A-B7082104E90D}"/>
    <hyperlink ref="K7" r:id="rId7" xr:uid="{E54FBB03-DE8E-B241-BBF7-E010699B8CE4}"/>
    <hyperlink ref="K19" r:id="rId8" xr:uid="{58748EB0-136D-8843-B9D6-AABCDC6DAC3A}"/>
    <hyperlink ref="K15" r:id="rId9" xr:uid="{09CCF1D7-59B8-9343-BC04-2FD66FC3BA28}"/>
    <hyperlink ref="K21" r:id="rId10" xr:uid="{3A147E89-4836-6B41-A507-E96AC1931D5F}"/>
    <hyperlink ref="K25" r:id="rId11" xr:uid="{747D1207-CA31-FB49-9EC6-D09D1A80F61D}"/>
    <hyperlink ref="K27" r:id="rId12" xr:uid="{F4C591FC-CC4D-084F-A9CE-7DF2BF49D8CB}"/>
    <hyperlink ref="K26" r:id="rId13" xr:uid="{A286036C-4F3D-F44F-BB9A-60126651F3A4}"/>
    <hyperlink ref="K29" r:id="rId14" xr:uid="{EA8A957D-1458-6849-B446-B596958A5FE5}"/>
    <hyperlink ref="K18" r:id="rId15" xr:uid="{BF363CFB-E4E0-6144-A320-E75586D35B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Musah</dc:creator>
  <cp:lastModifiedBy>Anwar Musah</cp:lastModifiedBy>
  <dcterms:created xsi:type="dcterms:W3CDTF">2026-04-07T21:25:57Z</dcterms:created>
  <dcterms:modified xsi:type="dcterms:W3CDTF">2026-04-12T16:58:58Z</dcterms:modified>
</cp:coreProperties>
</file>